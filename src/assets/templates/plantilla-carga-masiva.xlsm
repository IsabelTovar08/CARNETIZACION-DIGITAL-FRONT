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wnloads\"/>
    </mc:Choice>
  </mc:AlternateContent>
  <xr:revisionPtr revIDLastSave="0" documentId="13_ncr:1_{FF91C35D-BA7B-42A2-ACB5-ED8C0E6BF03C}" xr6:coauthVersionLast="47" xr6:coauthVersionMax="47" xr10:uidLastSave="{00000000-0000-0000-0000-000000000000}"/>
  <bookViews>
    <workbookView xWindow="-108" yWindow="-108" windowWidth="23256" windowHeight="14616" xr2:uid="{00000000-000D-0000-FFFF-FFFF00000000}"/>
  </bookViews>
  <sheets>
    <sheet name="Personas" sheetId="1" r:id="rId1"/>
    <sheet name="Lookups" sheetId="2" state="hidden" r:id="rId2"/>
    <sheet name="Instructions" sheetId="3" r:id="rId3"/>
    <sheet name="Listas" sheetId="4" r:id="rId4"/>
  </sheets>
  <functionGroups builtInGroupCount="19"/>
  <definedNames>
    <definedName name="BloodTypeNames">Lookups!$E$3:$E$10</definedName>
    <definedName name="CityNames">Lookups!$H$3:$H$12</definedName>
    <definedName name="DocumentTypeNames">Lookups!$B$3:$B$6</definedName>
  </definedNames>
  <calcPr calcId="191029"/>
</workbook>
</file>

<file path=xl/calcChain.xml><?xml version="1.0" encoding="utf-8"?>
<calcChain xmlns="http://schemas.openxmlformats.org/spreadsheetml/2006/main">
  <c r="O2" i="1" l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N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</calcChain>
</file>

<file path=xl/sharedStrings.xml><?xml version="1.0" encoding="utf-8"?>
<sst xmlns="http://schemas.openxmlformats.org/spreadsheetml/2006/main" count="130" uniqueCount="103">
  <si>
    <t>Document Types</t>
  </si>
  <si>
    <t>Blood Types</t>
  </si>
  <si>
    <t>Cities</t>
  </si>
  <si>
    <t>Id</t>
  </si>
  <si>
    <t>Name</t>
  </si>
  <si>
    <t>Cédula de ciudadanía (CC)</t>
  </si>
  <si>
    <t>O-</t>
  </si>
  <si>
    <t>Bogotá D.C.</t>
  </si>
  <si>
    <t>Cédula de extranjería (CE)</t>
  </si>
  <si>
    <t>O+</t>
  </si>
  <si>
    <t>Medellín</t>
  </si>
  <si>
    <t>Pasaporte (PA)</t>
  </si>
  <si>
    <t>A-</t>
  </si>
  <si>
    <t>Cali</t>
  </si>
  <si>
    <t>Tarjeta de identidad (TI)</t>
  </si>
  <si>
    <t>A+</t>
  </si>
  <si>
    <t>Barranquilla</t>
  </si>
  <si>
    <t>B-</t>
  </si>
  <si>
    <t>Cartagena</t>
  </si>
  <si>
    <t>B+</t>
  </si>
  <si>
    <t>Bucaramanga</t>
  </si>
  <si>
    <t>AB-</t>
  </si>
  <si>
    <t>Pereira</t>
  </si>
  <si>
    <t>AB+</t>
  </si>
  <si>
    <t>Manizales</t>
  </si>
  <si>
    <t>Cúcuta</t>
  </si>
  <si>
    <t>Ibagué</t>
  </si>
  <si>
    <t>Cómo usar la plantilla</t>
  </si>
  <si>
    <t>Primer Nombre</t>
  </si>
  <si>
    <t>Segundo Nombre</t>
  </si>
  <si>
    <t>Primer Apellido</t>
  </si>
  <si>
    <t>Segundo Apellido</t>
  </si>
  <si>
    <t>Tipo de Documento</t>
  </si>
  <si>
    <t>Número de Documento</t>
  </si>
  <si>
    <t>Tipo de Sangre</t>
  </si>
  <si>
    <t>Celular</t>
  </si>
  <si>
    <t>Correo Electrónico</t>
  </si>
  <si>
    <t>Dirección</t>
  </si>
  <si>
    <t>Ciuidad</t>
  </si>
  <si>
    <t>Foto</t>
  </si>
  <si>
    <t>CC</t>
  </si>
  <si>
    <t>CE</t>
  </si>
  <si>
    <t>TI</t>
  </si>
  <si>
    <t>Código</t>
  </si>
  <si>
    <t>O−</t>
  </si>
  <si>
    <t>A−</t>
  </si>
  <si>
    <t>B−</t>
  </si>
  <si>
    <t>AB−</t>
  </si>
  <si>
    <t>Columna1</t>
  </si>
  <si>
    <t>Sigla</t>
  </si>
  <si>
    <t>Descripción</t>
  </si>
  <si>
    <t>Cédula de ciudadanía</t>
  </si>
  <si>
    <t>Cédula de extranjería</t>
  </si>
  <si>
    <t>Tarjeta de identidad</t>
  </si>
  <si>
    <t>PA</t>
  </si>
  <si>
    <t>Pasaporte</t>
  </si>
  <si>
    <t>Columna2</t>
  </si>
  <si>
    <t>────────────────────────────────────────────</t>
  </si>
  <si>
    <t>1. INGRESE LOS DATOS ÚNICAMENTE EN LA HOJA “PERSONAS”</t>
  </si>
  <si>
    <t>Esta es la única hoja donde debe escribir información.</t>
  </si>
  <si>
    <t>Las demás hojas de la plantilla no deben modificarse ni alterarse.</t>
  </si>
  <si>
    <t>Cada fila corresponde a una persona que será cargada en el sistema.</t>
  </si>
  <si>
    <t>2. COMPLETE LOS DATOS DESDE LA FILA 2 HASTA LA FILA 80</t>
  </si>
  <si>
    <t>La estructura está configurada para que pueda registrar hasta 80 personas</t>
  </si>
  <si>
    <t>en una sola carga masiva.</t>
  </si>
  <si>
    <t>3. CAMPOS CON LISTAS DESPLEGABLES (OBLIGATORIO USARLAS)</t>
  </si>
  <si>
    <t xml:space="preserve">Los siguientes campos tienen valores predefinidos. </t>
  </si>
  <si>
    <t>Debe seleccionar las opciones del menú desplegable y NO escribir manualmente:</t>
  </si>
  <si>
    <t xml:space="preserve"> • Tipo de Documento (CC, CE, TI, PA)</t>
  </si>
  <si>
    <t xml:space="preserve"> • Tipo de Sangre (O+, O−, A+, A−, B+, B−, AB+, AB−)</t>
  </si>
  <si>
    <t xml:space="preserve"> • Ciudad</t>
  </si>
  <si>
    <t>Esto garantiza que la información coincida con el sistema.</t>
  </si>
  <si>
    <t>4. VALIDACIONES AUTOMÁTICAS</t>
  </si>
  <si>
    <t>La plantilla incluye reglas para evitar errores de digitación:</t>
  </si>
  <si>
    <t xml:space="preserve"> • Número de Documento:</t>
  </si>
  <si>
    <t xml:space="preserve">     - Solo permite números</t>
  </si>
  <si>
    <t xml:space="preserve">     - Debe estar entre 1.000.000 y 9.999.999.999</t>
  </si>
  <si>
    <t xml:space="preserve"> • Celular:</t>
  </si>
  <si>
    <t xml:space="preserve">     - Solo números</t>
  </si>
  <si>
    <t xml:space="preserve">     - Debe tener exactamente 10 dígitos</t>
  </si>
  <si>
    <t xml:space="preserve"> • Listas desplegables:</t>
  </si>
  <si>
    <t xml:space="preserve">     - No permiten escribir valores no válidos</t>
  </si>
  <si>
    <t>Si ingresa un dato incorrecto, Excel mostrará un mensaje de error.</t>
  </si>
  <si>
    <t>5. CÓDIGOS INTERNOS GENERADOS AUTOMÁTICAMENTE</t>
  </si>
  <si>
    <t>Los códigos numéricos que necesita el sistema para:</t>
  </si>
  <si>
    <t xml:space="preserve"> • Tipo de sangre (1–8)</t>
  </si>
  <si>
    <t xml:space="preserve"> • Tipo de documento (1–5)</t>
  </si>
  <si>
    <t>se generan automáticamente en columnas ocultas de la hoja “Personas”.</t>
  </si>
  <si>
    <t>No deben ser editados ni eliminados.</t>
  </si>
  <si>
    <t>6. NO MODIFIQUE LA HOJA “LISTAS”</t>
  </si>
  <si>
    <t>La hoja “Listas” contiene la base de datos que alimenta los menús</t>
  </si>
  <si>
    <t>desplegables y las validaciones.</t>
  </si>
  <si>
    <t>Modificar esta hoja puede dañar la plantilla.</t>
  </si>
  <si>
    <t>7. GUARDAR Y ENVIAR</t>
  </si>
  <si>
    <t>Cuando termine de diligenciar la información:</t>
  </si>
  <si>
    <t xml:space="preserve"> • Verifique que no existan celdas con errores</t>
  </si>
  <si>
    <t xml:space="preserve"> • Guarde el archivo</t>
  </si>
  <si>
    <t xml:space="preserve"> • Envíelo o súbalo para la carga masiva en el sistema</t>
  </si>
  <si>
    <t>FIN DE LAS INSTRUCCIONES</t>
  </si>
  <si>
    <t>ID</t>
  </si>
  <si>
    <t>Ciudad</t>
  </si>
  <si>
    <t>Bogotá</t>
  </si>
  <si>
    <t>Columna3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</si>
</sst>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1"/>
      <color rgb="FFFFFFFF"/>
      <name val="Calibri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theme="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Protection="1">
      <protection locked="0"/>
    </xf>
    <xf numFmtId="0" fontId="2" fillId="2" borderId="0" xfId="0" applyFont="1" applyFill="1" applyAlignment="1">
      <alignment horizontal="center" vertical="center"/>
    </xf>
    <xf numFmtId="0" fontId="4" fillId="3" borderId="0" xfId="0" applyFont="1" applyFill="1"/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1" xfId="0" applyFont="1" applyBorder="1"/>
    <xf numFmtId="0" fontId="0" fillId="0" borderId="2" xfId="0" applyBorder="1"/>
    <xf numFmtId="0" fontId="0" fillId="0" borderId="2" xfId="0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</cellXfs>
  <cellStyles count="1">
    <cellStyle name="Normal" xfId="0" builtinId="0"/>
  </cellStyles>
  <dxfs count="6">
    <dxf>
      <fill>
        <patternFill patternType="solid">
          <fgColor rgb="FFFFFCE4"/>
          <bgColor rgb="FFFFFCE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protection locked="0" hidden="0"/>
    </dxf>
    <dxf>
      <protection locked="0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199159</xdr:colOff>
      <xdr:row>1</xdr:row>
      <xdr:rowOff>0</xdr:rowOff>
    </xdr:from>
    <xdr:to>
      <xdr:col>12</xdr:col>
      <xdr:colOff>0</xdr:colOff>
      <xdr:row>1</xdr:row>
      <xdr:rowOff>0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408C4538-8903-458D-AD88-EB011FE7A36E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79386" y="4407477"/>
          <a:ext cx="1080000" cy="14417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ersonsTable" displayName="PersonsTable" ref="A1:O84">
  <autoFilter ref="A1:O84" xr:uid="{00000000-0009-0000-0100-000001000000}"/>
  <tableColumns count="15">
    <tableColumn id="1" xr3:uid="{00000000-0010-0000-0000-000001000000}" name="Primer Nombre"/>
    <tableColumn id="2" xr3:uid="{00000000-0010-0000-0000-000002000000}" name="Segundo Nombre"/>
    <tableColumn id="3" xr3:uid="{00000000-0010-0000-0000-000003000000}" name="Primer Apellido"/>
    <tableColumn id="4" xr3:uid="{00000000-0010-0000-0000-000004000000}" name="Segundo Apellido"/>
    <tableColumn id="16" xr3:uid="{C50DE423-8BA6-425B-9D6D-EAC0EFCBD5D4}" name="Tipo de Documento" dataDxfId="5"/>
    <tableColumn id="5" xr3:uid="{00000000-0010-0000-0000-000005000000}" name="Número de Documento"/>
    <tableColumn id="9" xr3:uid="{E5A796AC-C022-4604-AC09-995AF31B8B24}" name="Tipo de Sangre" dataDxfId="4"/>
    <tableColumn id="6" xr3:uid="{00000000-0010-0000-0000-000006000000}" name="Correo Electrónico"/>
    <tableColumn id="7" xr3:uid="{00000000-0010-0000-0000-000007000000}" name="Celular"/>
    <tableColumn id="8" xr3:uid="{00000000-0010-0000-0000-000008000000}" name="Dirección"/>
    <tableColumn id="11" xr3:uid="{00000000-0010-0000-0000-00000B000000}" name="Ciuidad"/>
    <tableColumn id="15" xr3:uid="{00000000-0010-0000-0000-00000F000000}" name="Foto"/>
    <tableColumn id="17" xr3:uid="{F541B6E9-FFB4-4C0E-B901-2924B1FB78F6}" name="Columna1" dataDxfId="3">
      <calculatedColumnFormula>IF(G2="","",INDEX(Listas!$E$2:$E$9,MATCH(G2,Listas!$F$2:$F$9,0)))</calculatedColumnFormula>
    </tableColumn>
    <tableColumn id="18" xr3:uid="{3F448CE3-B6CD-495F-B571-75F8548F783E}" name="Columna2" dataDxfId="2">
      <calculatedColumnFormula>IF(E2="","",INDEX(Listas!$H$2:$H$5,MATCH(E2,Listas!$I$2:$I$5,0)))</calculatedColumnFormula>
    </tableColumn>
    <tableColumn id="10" xr3:uid="{8E7EBC8C-E6E8-4935-865F-127A555E0153}" name="Columna3" dataDxfId="1">
      <calculatedColumnFormula>IF(K2="","",INDEX(Listas!$C$2:$C$4,MATCH(K2,Listas!$D$2:$D$4,0)))</calculatedColumnFormula>
    </tableColumn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O91"/>
  <sheetViews>
    <sheetView tabSelected="1" zoomScale="68" zoomScaleNormal="370" workbookViewId="0">
      <pane ySplit="1" topLeftCell="A2" activePane="bottomLeft" state="frozen"/>
      <selection pane="bottomLeft" activeCell="G6" sqref="G6"/>
    </sheetView>
  </sheetViews>
  <sheetFormatPr baseColWidth="10" defaultColWidth="8.88671875" defaultRowHeight="14.4" x14ac:dyDescent="0.3"/>
  <cols>
    <col min="1" max="7" width="18" customWidth="1"/>
    <col min="8" max="8" width="18.77734375" customWidth="1"/>
    <col min="9" max="9" width="20.109375" customWidth="1"/>
    <col min="10" max="10" width="26" customWidth="1"/>
    <col min="11" max="11" width="24" customWidth="1"/>
    <col min="12" max="12" width="17" customWidth="1"/>
  </cols>
  <sheetData>
    <row r="1" spans="1:15" x14ac:dyDescent="0.3">
      <c r="A1" s="2" t="s">
        <v>28</v>
      </c>
      <c r="B1" s="2" t="s">
        <v>29</v>
      </c>
      <c r="C1" s="2" t="s">
        <v>30</v>
      </c>
      <c r="D1" s="2" t="s">
        <v>31</v>
      </c>
      <c r="E1" s="2" t="s">
        <v>32</v>
      </c>
      <c r="F1" s="2" t="s">
        <v>33</v>
      </c>
      <c r="G1" s="2" t="s">
        <v>34</v>
      </c>
      <c r="H1" s="3" t="s">
        <v>36</v>
      </c>
      <c r="I1" s="2" t="s">
        <v>35</v>
      </c>
      <c r="J1" s="2" t="s">
        <v>37</v>
      </c>
      <c r="K1" s="2" t="s">
        <v>38</v>
      </c>
      <c r="L1" s="2" t="s">
        <v>39</v>
      </c>
      <c r="M1" t="s">
        <v>48</v>
      </c>
      <c r="N1" t="s">
        <v>56</v>
      </c>
      <c r="O1" t="s">
        <v>102</v>
      </c>
    </row>
    <row r="2" spans="1:15" ht="113.4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t="str">
        <f>IF(G2="","",INDEX(Listas!$E$2:$E$9,MATCH(G2,Listas!$F$2:$F$9,0)))</f>
        <v/>
      </c>
      <c r="N2" t="str">
        <f>IF(E2="","",INDEX(Listas!$H$2:$H$5,MATCH(E2,Listas!$I$2:$I$5,0)))</f>
        <v/>
      </c>
      <c r="O2" t="str">
        <f>IF(K2="","",INDEX(Listas!$C$2:$C$4,MATCH(K2,Listas!$D$2:$D$4,0)))</f>
        <v/>
      </c>
    </row>
    <row r="3" spans="1:15" ht="113.4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t="str">
        <f>IF(G3="","",INDEX(Listas!$E$2:$E$9,MATCH(G3,Listas!$F$2:$F$9,0)))</f>
        <v/>
      </c>
      <c r="N3" t="str">
        <f>IF(E3="","",INDEX(Listas!$H$2:$H$5,MATCH(E3,Listas!$I$2:$I$5,0)))</f>
        <v/>
      </c>
      <c r="O3" t="str">
        <f>IF(K3="","",INDEX(Listas!$C$2:$C$4,MATCH(K3,Listas!$D$2:$D$4,0)))</f>
        <v/>
      </c>
    </row>
    <row r="4" spans="1:15" ht="113.4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t="str">
        <f>IF(G4="","",INDEX(Listas!$E$2:$E$9,MATCH(G4,Listas!$F$2:$F$9,0)))</f>
        <v/>
      </c>
      <c r="N4" t="str">
        <f>IF(E4="","",INDEX(Listas!$H$2:$H$5,MATCH(E4,Listas!$I$2:$I$5,0)))</f>
        <v/>
      </c>
      <c r="O4" t="str">
        <f>IF(K4="","",INDEX(Listas!$C$2:$C$4,MATCH(K4,Listas!$D$2:$D$4,0)))</f>
        <v/>
      </c>
    </row>
    <row r="5" spans="1:15" ht="113.4" customHeight="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t="str">
        <f>IF(G5="","",INDEX(Listas!$E$2:$E$9,MATCH(G5,Listas!$F$2:$F$9,0)))</f>
        <v/>
      </c>
      <c r="N5" t="str">
        <f>IF(E5="","",INDEX(Listas!$H$2:$H$5,MATCH(E5,Listas!$I$2:$I$5,0)))</f>
        <v/>
      </c>
      <c r="O5" t="str">
        <f>IF(K5="","",INDEX(Listas!$C$2:$C$4,MATCH(K5,Listas!$D$2:$D$4,0)))</f>
        <v/>
      </c>
    </row>
    <row r="6" spans="1:15" ht="113.4" customHeight="1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t="str">
        <f>IF(G6="","",INDEX(Listas!$E$2:$E$9,MATCH(G6,Listas!$F$2:$F$9,0)))</f>
        <v/>
      </c>
      <c r="N6" t="str">
        <f>IF(E6="","",INDEX(Listas!$H$2:$H$5,MATCH(E6,Listas!$I$2:$I$5,0)))</f>
        <v/>
      </c>
      <c r="O6" t="str">
        <f>IF(K6="","",INDEX(Listas!$C$2:$C$4,MATCH(K6,Listas!$D$2:$D$4,0)))</f>
        <v/>
      </c>
    </row>
    <row r="7" spans="1:15" ht="113.4" customHeight="1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t="str">
        <f>IF(G7="","",INDEX(Listas!$E$2:$E$9,MATCH(G7,Listas!$F$2:$F$9,0)))</f>
        <v/>
      </c>
      <c r="N7" t="str">
        <f>IF(E7="","",INDEX(Listas!$H$2:$H$5,MATCH(E7,Listas!$I$2:$I$5,0)))</f>
        <v/>
      </c>
      <c r="O7" t="str">
        <f>IF(K7="","",INDEX(Listas!$C$2:$C$4,MATCH(K7,Listas!$D$2:$D$4,0)))</f>
        <v/>
      </c>
    </row>
    <row r="8" spans="1:15" ht="113.4" customHeigh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t="str">
        <f>IF(G8="","",INDEX(Listas!$E$2:$E$9,MATCH(G8,Listas!$F$2:$F$9,0)))</f>
        <v/>
      </c>
      <c r="N8" t="str">
        <f>IF(E8="","",INDEX(Listas!$H$2:$H$5,MATCH(E8,Listas!$I$2:$I$5,0)))</f>
        <v/>
      </c>
      <c r="O8" t="str">
        <f>IF(K8="","",INDEX(Listas!$C$2:$C$4,MATCH(K8,Listas!$D$2:$D$4,0)))</f>
        <v/>
      </c>
    </row>
    <row r="9" spans="1:15" ht="113.4" customHeigh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t="str">
        <f>IF(G9="","",INDEX(Listas!$E$2:$E$9,MATCH(G9,Listas!$F$2:$F$9,0)))</f>
        <v/>
      </c>
      <c r="N9" t="str">
        <f>IF(E9="","",INDEX(Listas!$H$2:$H$5,MATCH(E9,Listas!$I$2:$I$5,0)))</f>
        <v/>
      </c>
      <c r="O9" t="str">
        <f>IF(K9="","",INDEX(Listas!$C$2:$C$4,MATCH(K9,Listas!$D$2:$D$4,0)))</f>
        <v/>
      </c>
    </row>
    <row r="10" spans="1:15" ht="113.4" customHeight="1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t="str">
        <f>IF(G10="","",INDEX(Listas!$E$2:$E$9,MATCH(G10,Listas!$F$2:$F$9,0)))</f>
        <v/>
      </c>
      <c r="N10" t="str">
        <f>IF(E10="","",INDEX(Listas!$H$2:$H$5,MATCH(E10,Listas!$I$2:$I$5,0)))</f>
        <v/>
      </c>
      <c r="O10" t="str">
        <f>IF(K10="","",INDEX(Listas!$C$2:$C$4,MATCH(K10,Listas!$D$2:$D$4,0)))</f>
        <v/>
      </c>
    </row>
    <row r="11" spans="1:15" ht="64.05" customHeight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t="str">
        <f>IF(G11="","",INDEX(Listas!$E$2:$E$9,MATCH(G11,Listas!$F$2:$F$9,0)))</f>
        <v/>
      </c>
      <c r="N11" t="str">
        <f>IF(E11="","",INDEX(Listas!$H$2:$H$5,MATCH(E11,Listas!$I$2:$I$5,0)))</f>
        <v/>
      </c>
      <c r="O11" t="str">
        <f>IF(K11="","",INDEX(Listas!$C$2:$C$4,MATCH(K11,Listas!$D$2:$D$4,0)))</f>
        <v/>
      </c>
    </row>
    <row r="12" spans="1:15" ht="64.05" customHeight="1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t="str">
        <f>IF(G12="","",INDEX(Listas!$E$2:$E$9,MATCH(G12,Listas!$F$2:$F$9,0)))</f>
        <v/>
      </c>
      <c r="N12" t="str">
        <f>IF(E12="","",INDEX(Listas!$H$2:$H$5,MATCH(E12,Listas!$I$2:$I$5,0)))</f>
        <v/>
      </c>
      <c r="O12" t="str">
        <f>IF(K12="","",INDEX(Listas!$C$2:$C$4,MATCH(K12,Listas!$D$2:$D$4,0)))</f>
        <v/>
      </c>
    </row>
    <row r="13" spans="1:15" ht="64.05" customHeight="1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t="str">
        <f>IF(G13="","",INDEX(Listas!$E$2:$E$9,MATCH(G13,Listas!$F$2:$F$9,0)))</f>
        <v/>
      </c>
      <c r="N13" t="str">
        <f>IF(E13="","",INDEX(Listas!$H$2:$H$5,MATCH(E13,Listas!$I$2:$I$5,0)))</f>
        <v/>
      </c>
      <c r="O13" t="str">
        <f>IF(K13="","",INDEX(Listas!$C$2:$C$4,MATCH(K13,Listas!$D$2:$D$4,0)))</f>
        <v/>
      </c>
    </row>
    <row r="14" spans="1:15" ht="64.05" customHeight="1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t="str">
        <f>IF(G14="","",INDEX(Listas!$E$2:$E$9,MATCH(G14,Listas!$F$2:$F$9,0)))</f>
        <v/>
      </c>
      <c r="N14" t="str">
        <f>IF(E14="","",INDEX(Listas!$H$2:$H$5,MATCH(E14,Listas!$I$2:$I$5,0)))</f>
        <v/>
      </c>
      <c r="O14" t="str">
        <f>IF(K14="","",INDEX(Listas!$C$2:$C$4,MATCH(K14,Listas!$D$2:$D$4,0)))</f>
        <v/>
      </c>
    </row>
    <row r="15" spans="1:15" ht="64.05" customHeight="1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t="str">
        <f>IF(G15="","",INDEX(Listas!$E$2:$E$9,MATCH(G15,Listas!$F$2:$F$9,0)))</f>
        <v/>
      </c>
      <c r="N15" t="str">
        <f>IF(E15="","",INDEX(Listas!$H$2:$H$5,MATCH(E15,Listas!$I$2:$I$5,0)))</f>
        <v/>
      </c>
      <c r="O15" t="str">
        <f>IF(K15="","",INDEX(Listas!$C$2:$C$4,MATCH(K15,Listas!$D$2:$D$4,0)))</f>
        <v/>
      </c>
    </row>
    <row r="16" spans="1:15" ht="64.0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t="str">
        <f>IF(G16="","",INDEX(Listas!$E$2:$E$9,MATCH(G16,Listas!$F$2:$F$9,0)))</f>
        <v/>
      </c>
      <c r="N16" t="str">
        <f>IF(E16="","",INDEX(Listas!$H$2:$H$5,MATCH(E16,Listas!$I$2:$I$5,0)))</f>
        <v/>
      </c>
      <c r="O16" t="str">
        <f>IF(K16="","",INDEX(Listas!$C$2:$C$4,MATCH(K16,Listas!$D$2:$D$4,0)))</f>
        <v/>
      </c>
    </row>
    <row r="17" spans="1:15" ht="64.05" customHeight="1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t="str">
        <f>IF(G17="","",INDEX(Listas!$E$2:$E$9,MATCH(G17,Listas!$F$2:$F$9,0)))</f>
        <v/>
      </c>
      <c r="N17" t="str">
        <f>IF(E17="","",INDEX(Listas!$H$2:$H$5,MATCH(E17,Listas!$I$2:$I$5,0)))</f>
        <v/>
      </c>
      <c r="O17" t="str">
        <f>IF(K17="","",INDEX(Listas!$C$2:$C$4,MATCH(K17,Listas!$D$2:$D$4,0)))</f>
        <v/>
      </c>
    </row>
    <row r="18" spans="1:15" ht="64.05" customHeight="1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t="str">
        <f>IF(G18="","",INDEX(Listas!$E$2:$E$9,MATCH(G18,Listas!$F$2:$F$9,0)))</f>
        <v/>
      </c>
      <c r="N18" t="str">
        <f>IF(E18="","",INDEX(Listas!$H$2:$H$5,MATCH(E18,Listas!$I$2:$I$5,0)))</f>
        <v/>
      </c>
      <c r="O18" t="str">
        <f>IF(K18="","",INDEX(Listas!$C$2:$C$4,MATCH(K18,Listas!$D$2:$D$4,0)))</f>
        <v/>
      </c>
    </row>
    <row r="19" spans="1:15" ht="64.05" customHeight="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t="str">
        <f>IF(G19="","",INDEX(Listas!$E$2:$E$9,MATCH(G19,Listas!$F$2:$F$9,0)))</f>
        <v/>
      </c>
      <c r="N19" t="str">
        <f>IF(E19="","",INDEX(Listas!$H$2:$H$5,MATCH(E19,Listas!$I$2:$I$5,0)))</f>
        <v/>
      </c>
      <c r="O19" t="str">
        <f>IF(K19="","",INDEX(Listas!$C$2:$C$4,MATCH(K19,Listas!$D$2:$D$4,0)))</f>
        <v/>
      </c>
    </row>
    <row r="20" spans="1:15" ht="64.05" customHeight="1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t="str">
        <f>IF(G20="","",INDEX(Listas!$E$2:$E$9,MATCH(G20,Listas!$F$2:$F$9,0)))</f>
        <v/>
      </c>
      <c r="N20" t="str">
        <f>IF(E20="","",INDEX(Listas!$H$2:$H$5,MATCH(E20,Listas!$I$2:$I$5,0)))</f>
        <v/>
      </c>
      <c r="O20" t="str">
        <f>IF(K20="","",INDEX(Listas!$C$2:$C$4,MATCH(K20,Listas!$D$2:$D$4,0)))</f>
        <v/>
      </c>
    </row>
    <row r="21" spans="1:15" ht="64.05" customHeight="1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t="str">
        <f>IF(G21="","",INDEX(Listas!$E$2:$E$9,MATCH(G21,Listas!$F$2:$F$9,0)))</f>
        <v/>
      </c>
      <c r="N21" t="str">
        <f>IF(E21="","",INDEX(Listas!$H$2:$H$5,MATCH(E21,Listas!$I$2:$I$5,0)))</f>
        <v/>
      </c>
      <c r="O21" t="str">
        <f>IF(K21="","",INDEX(Listas!$C$2:$C$4,MATCH(K21,Listas!$D$2:$D$4,0)))</f>
        <v/>
      </c>
    </row>
    <row r="22" spans="1:15" ht="64.05" customHeight="1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t="str">
        <f>IF(G22="","",INDEX(Listas!$E$2:$E$9,MATCH(G22,Listas!$F$2:$F$9,0)))</f>
        <v/>
      </c>
      <c r="N22" t="str">
        <f>IF(E22="","",INDEX(Listas!$H$2:$H$5,MATCH(E22,Listas!$I$2:$I$5,0)))</f>
        <v/>
      </c>
      <c r="O22" t="str">
        <f>IF(K22="","",INDEX(Listas!$C$2:$C$4,MATCH(K22,Listas!$D$2:$D$4,0)))</f>
        <v/>
      </c>
    </row>
    <row r="23" spans="1:15" ht="64.05" customHeight="1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t="str">
        <f>IF(G23="","",INDEX(Listas!$E$2:$E$9,MATCH(G23,Listas!$F$2:$F$9,0)))</f>
        <v/>
      </c>
      <c r="N23" t="str">
        <f>IF(E23="","",INDEX(Listas!$H$2:$H$5,MATCH(E23,Listas!$I$2:$I$5,0)))</f>
        <v/>
      </c>
      <c r="O23" t="str">
        <f>IF(K23="","",INDEX(Listas!$C$2:$C$4,MATCH(K23,Listas!$D$2:$D$4,0)))</f>
        <v/>
      </c>
    </row>
    <row r="24" spans="1:15" ht="64.05" customHeigh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t="str">
        <f>IF(G24="","",INDEX(Listas!$E$2:$E$9,MATCH(G24,Listas!$F$2:$F$9,0)))</f>
        <v/>
      </c>
      <c r="N24" t="str">
        <f>IF(E24="","",INDEX(Listas!$H$2:$H$5,MATCH(E24,Listas!$I$2:$I$5,0)))</f>
        <v/>
      </c>
      <c r="O24" t="str">
        <f>IF(K24="","",INDEX(Listas!$C$2:$C$4,MATCH(K24,Listas!$D$2:$D$4,0)))</f>
        <v/>
      </c>
    </row>
    <row r="25" spans="1:15" ht="64.05" customHeight="1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t="str">
        <f>IF(G25="","",INDEX(Listas!$E$2:$E$9,MATCH(G25,Listas!$F$2:$F$9,0)))</f>
        <v/>
      </c>
      <c r="N25" t="str">
        <f>IF(E25="","",INDEX(Listas!$H$2:$H$5,MATCH(E25,Listas!$I$2:$I$5,0)))</f>
        <v/>
      </c>
      <c r="O25" t="str">
        <f>IF(K25="","",INDEX(Listas!$C$2:$C$4,MATCH(K25,Listas!$D$2:$D$4,0)))</f>
        <v/>
      </c>
    </row>
    <row r="26" spans="1:15" ht="64.05" customHeight="1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t="str">
        <f>IF(G26="","",INDEX(Listas!$E$2:$E$9,MATCH(G26,Listas!$F$2:$F$9,0)))</f>
        <v/>
      </c>
      <c r="N26" t="str">
        <f>IF(E26="","",INDEX(Listas!$H$2:$H$5,MATCH(E26,Listas!$I$2:$I$5,0)))</f>
        <v/>
      </c>
      <c r="O26" t="str">
        <f>IF(K26="","",INDEX(Listas!$C$2:$C$4,MATCH(K26,Listas!$D$2:$D$4,0)))</f>
        <v/>
      </c>
    </row>
    <row r="27" spans="1:15" ht="64.05" customHeight="1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t="str">
        <f>IF(G27="","",INDEX(Listas!$E$2:$E$9,MATCH(G27,Listas!$F$2:$F$9,0)))</f>
        <v/>
      </c>
      <c r="N27" t="str">
        <f>IF(E27="","",INDEX(Listas!$H$2:$H$5,MATCH(E27,Listas!$I$2:$I$5,0)))</f>
        <v/>
      </c>
      <c r="O27" t="str">
        <f>IF(K27="","",INDEX(Listas!$C$2:$C$4,MATCH(K27,Listas!$D$2:$D$4,0)))</f>
        <v/>
      </c>
    </row>
    <row r="28" spans="1:15" ht="64.05" customHeight="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t="str">
        <f>IF(G28="","",INDEX(Listas!$E$2:$E$9,MATCH(G28,Listas!$F$2:$F$9,0)))</f>
        <v/>
      </c>
      <c r="N28" t="str">
        <f>IF(E28="","",INDEX(Listas!$H$2:$H$5,MATCH(E28,Listas!$I$2:$I$5,0)))</f>
        <v/>
      </c>
      <c r="O28" t="str">
        <f>IF(K28="","",INDEX(Listas!$C$2:$C$4,MATCH(K28,Listas!$D$2:$D$4,0)))</f>
        <v/>
      </c>
    </row>
    <row r="29" spans="1:15" ht="64.05" customHeight="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t="str">
        <f>IF(G29="","",INDEX(Listas!$E$2:$E$9,MATCH(G29,Listas!$F$2:$F$9,0)))</f>
        <v/>
      </c>
      <c r="N29" t="str">
        <f>IF(E29="","",INDEX(Listas!$H$2:$H$5,MATCH(E29,Listas!$I$2:$I$5,0)))</f>
        <v/>
      </c>
      <c r="O29" t="str">
        <f>IF(K29="","",INDEX(Listas!$C$2:$C$4,MATCH(K29,Listas!$D$2:$D$4,0)))</f>
        <v/>
      </c>
    </row>
    <row r="30" spans="1:15" ht="64.05" customHeight="1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t="str">
        <f>IF(G30="","",INDEX(Listas!$E$2:$E$9,MATCH(G30,Listas!$F$2:$F$9,0)))</f>
        <v/>
      </c>
      <c r="N30" t="str">
        <f>IF(E30="","",INDEX(Listas!$H$2:$H$5,MATCH(E30,Listas!$I$2:$I$5,0)))</f>
        <v/>
      </c>
      <c r="O30" t="str">
        <f>IF(K30="","",INDEX(Listas!$C$2:$C$4,MATCH(K30,Listas!$D$2:$D$4,0)))</f>
        <v/>
      </c>
    </row>
    <row r="31" spans="1:15" ht="64.05" customHeight="1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t="str">
        <f>IF(G31="","",INDEX(Listas!$E$2:$E$9,MATCH(G31,Listas!$F$2:$F$9,0)))</f>
        <v/>
      </c>
      <c r="N31" t="str">
        <f>IF(E31="","",INDEX(Listas!$H$2:$H$5,MATCH(E31,Listas!$I$2:$I$5,0)))</f>
        <v/>
      </c>
      <c r="O31" t="str">
        <f>IF(K31="","",INDEX(Listas!$C$2:$C$4,MATCH(K31,Listas!$D$2:$D$4,0)))</f>
        <v/>
      </c>
    </row>
    <row r="32" spans="1:15" ht="64.05" customHeight="1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t="str">
        <f>IF(G32="","",INDEX(Listas!$E$2:$E$9,MATCH(G32,Listas!$F$2:$F$9,0)))</f>
        <v/>
      </c>
      <c r="N32" t="str">
        <f>IF(E32="","",INDEX(Listas!$H$2:$H$5,MATCH(E32,Listas!$I$2:$I$5,0)))</f>
        <v/>
      </c>
      <c r="O32" t="str">
        <f>IF(K32="","",INDEX(Listas!$C$2:$C$4,MATCH(K32,Listas!$D$2:$D$4,0)))</f>
        <v/>
      </c>
    </row>
    <row r="33" spans="1:15" ht="64.05" customHeight="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t="str">
        <f>IF(G33="","",INDEX(Listas!$E$2:$E$9,MATCH(G33,Listas!$F$2:$F$9,0)))</f>
        <v/>
      </c>
      <c r="N33" t="str">
        <f>IF(E33="","",INDEX(Listas!$H$2:$H$5,MATCH(E33,Listas!$I$2:$I$5,0)))</f>
        <v/>
      </c>
      <c r="O33" t="str">
        <f>IF(K33="","",INDEX(Listas!$C$2:$C$4,MATCH(K33,Listas!$D$2:$D$4,0)))</f>
        <v/>
      </c>
    </row>
    <row r="34" spans="1:15" ht="64.05" customHeight="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t="str">
        <f>IF(G34="","",INDEX(Listas!$E$2:$E$9,MATCH(G34,Listas!$F$2:$F$9,0)))</f>
        <v/>
      </c>
      <c r="N34" t="str">
        <f>IF(E34="","",INDEX(Listas!$H$2:$H$5,MATCH(E34,Listas!$I$2:$I$5,0)))</f>
        <v/>
      </c>
      <c r="O34" t="str">
        <f>IF(K34="","",INDEX(Listas!$C$2:$C$4,MATCH(K34,Listas!$D$2:$D$4,0)))</f>
        <v/>
      </c>
    </row>
    <row r="35" spans="1:15" ht="64.05" customHeight="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t="str">
        <f>IF(G35="","",INDEX(Listas!$E$2:$E$9,MATCH(G35,Listas!$F$2:$F$9,0)))</f>
        <v/>
      </c>
      <c r="N35" t="str">
        <f>IF(E35="","",INDEX(Listas!$H$2:$H$5,MATCH(E35,Listas!$I$2:$I$5,0)))</f>
        <v/>
      </c>
      <c r="O35" t="str">
        <f>IF(K35="","",INDEX(Listas!$C$2:$C$4,MATCH(K35,Listas!$D$2:$D$4,0)))</f>
        <v/>
      </c>
    </row>
    <row r="36" spans="1:15" ht="64.05" customHeight="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t="str">
        <f>IF(G36="","",INDEX(Listas!$E$2:$E$9,MATCH(G36,Listas!$F$2:$F$9,0)))</f>
        <v/>
      </c>
      <c r="N36" t="str">
        <f>IF(E36="","",INDEX(Listas!$H$2:$H$5,MATCH(E36,Listas!$I$2:$I$5,0)))</f>
        <v/>
      </c>
      <c r="O36" t="str">
        <f>IF(K36="","",INDEX(Listas!$C$2:$C$4,MATCH(K36,Listas!$D$2:$D$4,0)))</f>
        <v/>
      </c>
    </row>
    <row r="37" spans="1:15" ht="64.05" customHeight="1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t="str">
        <f>IF(G37="","",INDEX(Listas!$E$2:$E$9,MATCH(G37,Listas!$F$2:$F$9,0)))</f>
        <v/>
      </c>
      <c r="N37" t="str">
        <f>IF(E37="","",INDEX(Listas!$H$2:$H$5,MATCH(E37,Listas!$I$2:$I$5,0)))</f>
        <v/>
      </c>
      <c r="O37" t="str">
        <f>IF(K37="","",INDEX(Listas!$C$2:$C$4,MATCH(K37,Listas!$D$2:$D$4,0)))</f>
        <v/>
      </c>
    </row>
    <row r="38" spans="1:15" ht="64.05" customHeight="1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t="str">
        <f>IF(G38="","",INDEX(Listas!$E$2:$E$9,MATCH(G38,Listas!$F$2:$F$9,0)))</f>
        <v/>
      </c>
      <c r="N38" t="str">
        <f>IF(E38="","",INDEX(Listas!$H$2:$H$5,MATCH(E38,Listas!$I$2:$I$5,0)))</f>
        <v/>
      </c>
      <c r="O38" t="str">
        <f>IF(K38="","",INDEX(Listas!$C$2:$C$4,MATCH(K38,Listas!$D$2:$D$4,0)))</f>
        <v/>
      </c>
    </row>
    <row r="39" spans="1:15" ht="64.0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t="str">
        <f>IF(G39="","",INDEX(Listas!$E$2:$E$9,MATCH(G39,Listas!$F$2:$F$9,0)))</f>
        <v/>
      </c>
      <c r="N39" t="str">
        <f>IF(E39="","",INDEX(Listas!$H$2:$H$5,MATCH(E39,Listas!$I$2:$I$5,0)))</f>
        <v/>
      </c>
      <c r="O39" t="str">
        <f>IF(K39="","",INDEX(Listas!$C$2:$C$4,MATCH(K39,Listas!$D$2:$D$4,0)))</f>
        <v/>
      </c>
    </row>
    <row r="40" spans="1:15" ht="64.0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t="str">
        <f>IF(G40="","",INDEX(Listas!$E$2:$E$9,MATCH(G40,Listas!$F$2:$F$9,0)))</f>
        <v/>
      </c>
      <c r="N40" t="str">
        <f>IF(E40="","",INDEX(Listas!$H$2:$H$5,MATCH(E40,Listas!$I$2:$I$5,0)))</f>
        <v/>
      </c>
      <c r="O40" t="str">
        <f>IF(K40="","",INDEX(Listas!$C$2:$C$4,MATCH(K40,Listas!$D$2:$D$4,0)))</f>
        <v/>
      </c>
    </row>
    <row r="41" spans="1:15" ht="64.0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t="str">
        <f>IF(G41="","",INDEX(Listas!$E$2:$E$9,MATCH(G41,Listas!$F$2:$F$9,0)))</f>
        <v/>
      </c>
      <c r="N41" t="str">
        <f>IF(E41="","",INDEX(Listas!$H$2:$H$5,MATCH(E41,Listas!$I$2:$I$5,0)))</f>
        <v/>
      </c>
      <c r="O41" t="str">
        <f>IF(K41="","",INDEX(Listas!$C$2:$C$4,MATCH(K41,Listas!$D$2:$D$4,0)))</f>
        <v/>
      </c>
    </row>
    <row r="42" spans="1:15" ht="64.0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t="str">
        <f>IF(G42="","",INDEX(Listas!$E$2:$E$9,MATCH(G42,Listas!$F$2:$F$9,0)))</f>
        <v/>
      </c>
      <c r="N42" t="str">
        <f>IF(E42="","",INDEX(Listas!$H$2:$H$5,MATCH(E42,Listas!$I$2:$I$5,0)))</f>
        <v/>
      </c>
      <c r="O42" t="str">
        <f>IF(K42="","",INDEX(Listas!$C$2:$C$4,MATCH(K42,Listas!$D$2:$D$4,0)))</f>
        <v/>
      </c>
    </row>
    <row r="43" spans="1:15" ht="64.0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t="str">
        <f>IF(G43="","",INDEX(Listas!$E$2:$E$9,MATCH(G43,Listas!$F$2:$F$9,0)))</f>
        <v/>
      </c>
      <c r="N43" t="str">
        <f>IF(E43="","",INDEX(Listas!$H$2:$H$5,MATCH(E43,Listas!$I$2:$I$5,0)))</f>
        <v/>
      </c>
      <c r="O43" t="str">
        <f>IF(K43="","",INDEX(Listas!$C$2:$C$4,MATCH(K43,Listas!$D$2:$D$4,0)))</f>
        <v/>
      </c>
    </row>
    <row r="44" spans="1:15" ht="64.0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t="str">
        <f>IF(G44="","",INDEX(Listas!$E$2:$E$9,MATCH(G44,Listas!$F$2:$F$9,0)))</f>
        <v/>
      </c>
      <c r="N44" t="str">
        <f>IF(E44="","",INDEX(Listas!$H$2:$H$5,MATCH(E44,Listas!$I$2:$I$5,0)))</f>
        <v/>
      </c>
      <c r="O44" t="str">
        <f>IF(K44="","",INDEX(Listas!$C$2:$C$4,MATCH(K44,Listas!$D$2:$D$4,0)))</f>
        <v/>
      </c>
    </row>
    <row r="45" spans="1:15" ht="64.0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t="str">
        <f>IF(G45="","",INDEX(Listas!$E$2:$E$9,MATCH(G45,Listas!$F$2:$F$9,0)))</f>
        <v/>
      </c>
      <c r="N45" t="str">
        <f>IF(E45="","",INDEX(Listas!$H$2:$H$5,MATCH(E45,Listas!$I$2:$I$5,0)))</f>
        <v/>
      </c>
      <c r="O45" t="str">
        <f>IF(K45="","",INDEX(Listas!$C$2:$C$4,MATCH(K45,Listas!$D$2:$D$4,0)))</f>
        <v/>
      </c>
    </row>
    <row r="46" spans="1:15" ht="64.0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t="str">
        <f>IF(G46="","",INDEX(Listas!$E$2:$E$9,MATCH(G46,Listas!$F$2:$F$9,0)))</f>
        <v/>
      </c>
      <c r="N46" t="str">
        <f>IF(E46="","",INDEX(Listas!$H$2:$H$5,MATCH(E46,Listas!$I$2:$I$5,0)))</f>
        <v/>
      </c>
      <c r="O46" t="str">
        <f>IF(K46="","",INDEX(Listas!$C$2:$C$4,MATCH(K46,Listas!$D$2:$D$4,0)))</f>
        <v/>
      </c>
    </row>
    <row r="47" spans="1:15" ht="64.0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t="str">
        <f>IF(G47="","",INDEX(Listas!$E$2:$E$9,MATCH(G47,Listas!$F$2:$F$9,0)))</f>
        <v/>
      </c>
      <c r="N47" t="str">
        <f>IF(E47="","",INDEX(Listas!$H$2:$H$5,MATCH(E47,Listas!$I$2:$I$5,0)))</f>
        <v/>
      </c>
      <c r="O47" t="str">
        <f>IF(K47="","",INDEX(Listas!$C$2:$C$4,MATCH(K47,Listas!$D$2:$D$4,0)))</f>
        <v/>
      </c>
    </row>
    <row r="48" spans="1:15" ht="64.0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t="str">
        <f>IF(G48="","",INDEX(Listas!$E$2:$E$9,MATCH(G48,Listas!$F$2:$F$9,0)))</f>
        <v/>
      </c>
      <c r="N48" t="str">
        <f>IF(E48="","",INDEX(Listas!$H$2:$H$5,MATCH(E48,Listas!$I$2:$I$5,0)))</f>
        <v/>
      </c>
      <c r="O48" t="str">
        <f>IF(K48="","",INDEX(Listas!$C$2:$C$4,MATCH(K48,Listas!$D$2:$D$4,0)))</f>
        <v/>
      </c>
    </row>
    <row r="49" spans="1:15" ht="64.0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t="str">
        <f>IF(G49="","",INDEX(Listas!$E$2:$E$9,MATCH(G49,Listas!$F$2:$F$9,0)))</f>
        <v/>
      </c>
      <c r="N49" t="str">
        <f>IF(E49="","",INDEX(Listas!$H$2:$H$5,MATCH(E49,Listas!$I$2:$I$5,0)))</f>
        <v/>
      </c>
      <c r="O49" t="str">
        <f>IF(K49="","",INDEX(Listas!$C$2:$C$4,MATCH(K49,Listas!$D$2:$D$4,0)))</f>
        <v/>
      </c>
    </row>
    <row r="50" spans="1:15" ht="64.0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t="str">
        <f>IF(G50="","",INDEX(Listas!$E$2:$E$9,MATCH(G50,Listas!$F$2:$F$9,0)))</f>
        <v/>
      </c>
      <c r="N50" t="str">
        <f>IF(E50="","",INDEX(Listas!$H$2:$H$5,MATCH(E50,Listas!$I$2:$I$5,0)))</f>
        <v/>
      </c>
      <c r="O50" t="str">
        <f>IF(K50="","",INDEX(Listas!$C$2:$C$4,MATCH(K50,Listas!$D$2:$D$4,0)))</f>
        <v/>
      </c>
    </row>
    <row r="51" spans="1:15" ht="64.0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t="str">
        <f>IF(G51="","",INDEX(Listas!$E$2:$E$9,MATCH(G51,Listas!$F$2:$F$9,0)))</f>
        <v/>
      </c>
      <c r="N51" t="str">
        <f>IF(E51="","",INDEX(Listas!$H$2:$H$5,MATCH(E51,Listas!$I$2:$I$5,0)))</f>
        <v/>
      </c>
      <c r="O51" t="str">
        <f>IF(K51="","",INDEX(Listas!$C$2:$C$4,MATCH(K51,Listas!$D$2:$D$4,0)))</f>
        <v/>
      </c>
    </row>
    <row r="52" spans="1:15" ht="64.0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t="str">
        <f>IF(G52="","",INDEX(Listas!$E$2:$E$9,MATCH(G52,Listas!$F$2:$F$9,0)))</f>
        <v/>
      </c>
      <c r="N52" t="str">
        <f>IF(E52="","",INDEX(Listas!$H$2:$H$5,MATCH(E52,Listas!$I$2:$I$5,0)))</f>
        <v/>
      </c>
      <c r="O52" t="str">
        <f>IF(K52="","",INDEX(Listas!$C$2:$C$4,MATCH(K52,Listas!$D$2:$D$4,0)))</f>
        <v/>
      </c>
    </row>
    <row r="53" spans="1:15" ht="64.0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t="str">
        <f>IF(G53="","",INDEX(Listas!$E$2:$E$9,MATCH(G53,Listas!$F$2:$F$9,0)))</f>
        <v/>
      </c>
      <c r="N53" t="str">
        <f>IF(E53="","",INDEX(Listas!$H$2:$H$5,MATCH(E53,Listas!$I$2:$I$5,0)))</f>
        <v/>
      </c>
      <c r="O53" t="str">
        <f>IF(K53="","",INDEX(Listas!$C$2:$C$4,MATCH(K53,Listas!$D$2:$D$4,0)))</f>
        <v/>
      </c>
    </row>
    <row r="54" spans="1:15" ht="64.0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t="str">
        <f>IF(G54="","",INDEX(Listas!$E$2:$E$9,MATCH(G54,Listas!$F$2:$F$9,0)))</f>
        <v/>
      </c>
      <c r="N54" t="str">
        <f>IF(E54="","",INDEX(Listas!$H$2:$H$5,MATCH(E54,Listas!$I$2:$I$5,0)))</f>
        <v/>
      </c>
      <c r="O54" t="str">
        <f>IF(K54="","",INDEX(Listas!$C$2:$C$4,MATCH(K54,Listas!$D$2:$D$4,0)))</f>
        <v/>
      </c>
    </row>
    <row r="55" spans="1:15" ht="64.0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t="str">
        <f>IF(G55="","",INDEX(Listas!$E$2:$E$9,MATCH(G55,Listas!$F$2:$F$9,0)))</f>
        <v/>
      </c>
      <c r="N55" t="str">
        <f>IF(E55="","",INDEX(Listas!$H$2:$H$5,MATCH(E55,Listas!$I$2:$I$5,0)))</f>
        <v/>
      </c>
      <c r="O55" t="str">
        <f>IF(K55="","",INDEX(Listas!$C$2:$C$4,MATCH(K55,Listas!$D$2:$D$4,0)))</f>
        <v/>
      </c>
    </row>
    <row r="56" spans="1:15" ht="64.0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t="str">
        <f>IF(G56="","",INDEX(Listas!$E$2:$E$9,MATCH(G56,Listas!$F$2:$F$9,0)))</f>
        <v/>
      </c>
      <c r="N56" t="str">
        <f>IF(E56="","",INDEX(Listas!$H$2:$H$5,MATCH(E56,Listas!$I$2:$I$5,0)))</f>
        <v/>
      </c>
      <c r="O56" t="str">
        <f>IF(K56="","",INDEX(Listas!$C$2:$C$4,MATCH(K56,Listas!$D$2:$D$4,0)))</f>
        <v/>
      </c>
    </row>
    <row r="57" spans="1:15" ht="64.0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t="str">
        <f>IF(G57="","",INDEX(Listas!$E$2:$E$9,MATCH(G57,Listas!$F$2:$F$9,0)))</f>
        <v/>
      </c>
      <c r="N57" t="str">
        <f>IF(E57="","",INDEX(Listas!$H$2:$H$5,MATCH(E57,Listas!$I$2:$I$5,0)))</f>
        <v/>
      </c>
      <c r="O57" t="str">
        <f>IF(K57="","",INDEX(Listas!$C$2:$C$4,MATCH(K57,Listas!$D$2:$D$4,0)))</f>
        <v/>
      </c>
    </row>
    <row r="58" spans="1:15" ht="64.0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t="str">
        <f>IF(G58="","",INDEX(Listas!$E$2:$E$9,MATCH(G58,Listas!$F$2:$F$9,0)))</f>
        <v/>
      </c>
      <c r="N58" t="str">
        <f>IF(E58="","",INDEX(Listas!$H$2:$H$5,MATCH(E58,Listas!$I$2:$I$5,0)))</f>
        <v/>
      </c>
      <c r="O58" t="str">
        <f>IF(K58="","",INDEX(Listas!$C$2:$C$4,MATCH(K58,Listas!$D$2:$D$4,0)))</f>
        <v/>
      </c>
    </row>
    <row r="59" spans="1:15" ht="64.0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t="str">
        <f>IF(G59="","",INDEX(Listas!$E$2:$E$9,MATCH(G59,Listas!$F$2:$F$9,0)))</f>
        <v/>
      </c>
      <c r="N59" t="str">
        <f>IF(E59="","",INDEX(Listas!$H$2:$H$5,MATCH(E59,Listas!$I$2:$I$5,0)))</f>
        <v/>
      </c>
      <c r="O59" t="str">
        <f>IF(K59="","",INDEX(Listas!$C$2:$C$4,MATCH(K59,Listas!$D$2:$D$4,0)))</f>
        <v/>
      </c>
    </row>
    <row r="60" spans="1:15" ht="64.0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t="str">
        <f>IF(G60="","",INDEX(Listas!$E$2:$E$9,MATCH(G60,Listas!$F$2:$F$9,0)))</f>
        <v/>
      </c>
      <c r="N60" t="str">
        <f>IF(E60="","",INDEX(Listas!$H$2:$H$5,MATCH(E60,Listas!$I$2:$I$5,0)))</f>
        <v/>
      </c>
      <c r="O60" t="str">
        <f>IF(K60="","",INDEX(Listas!$C$2:$C$4,MATCH(K60,Listas!$D$2:$D$4,0)))</f>
        <v/>
      </c>
    </row>
    <row r="61" spans="1:15" ht="64.0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t="str">
        <f>IF(G61="","",INDEX(Listas!$E$2:$E$9,MATCH(G61,Listas!$F$2:$F$9,0)))</f>
        <v/>
      </c>
      <c r="N61" t="str">
        <f>IF(E61="","",INDEX(Listas!$H$2:$H$5,MATCH(E61,Listas!$I$2:$I$5,0)))</f>
        <v/>
      </c>
      <c r="O61" t="str">
        <f>IF(K61="","",INDEX(Listas!$C$2:$C$4,MATCH(K61,Listas!$D$2:$D$4,0)))</f>
        <v/>
      </c>
    </row>
    <row r="62" spans="1:15" ht="64.0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t="str">
        <f>IF(G62="","",INDEX(Listas!$E$2:$E$9,MATCH(G62,Listas!$F$2:$F$9,0)))</f>
        <v/>
      </c>
      <c r="N62" t="str">
        <f>IF(E62="","",INDEX(Listas!$H$2:$H$5,MATCH(E62,Listas!$I$2:$I$5,0)))</f>
        <v/>
      </c>
      <c r="O62" t="str">
        <f>IF(K62="","",INDEX(Listas!$C$2:$C$4,MATCH(K62,Listas!$D$2:$D$4,0)))</f>
        <v/>
      </c>
    </row>
    <row r="63" spans="1:15" ht="64.0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t="str">
        <f>IF(G63="","",INDEX(Listas!$E$2:$E$9,MATCH(G63,Listas!$F$2:$F$9,0)))</f>
        <v/>
      </c>
      <c r="N63" t="str">
        <f>IF(E63="","",INDEX(Listas!$H$2:$H$5,MATCH(E63,Listas!$I$2:$I$5,0)))</f>
        <v/>
      </c>
      <c r="O63" t="str">
        <f>IF(K63="","",INDEX(Listas!$C$2:$C$4,MATCH(K63,Listas!$D$2:$D$4,0)))</f>
        <v/>
      </c>
    </row>
    <row r="64" spans="1:15" ht="64.0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t="str">
        <f>IF(G64="","",INDEX(Listas!$E$2:$E$9,MATCH(G64,Listas!$F$2:$F$9,0)))</f>
        <v/>
      </c>
      <c r="N64" t="str">
        <f>IF(E64="","",INDEX(Listas!$H$2:$H$5,MATCH(E64,Listas!$I$2:$I$5,0)))</f>
        <v/>
      </c>
      <c r="O64" t="str">
        <f>IF(K64="","",INDEX(Listas!$C$2:$C$4,MATCH(K64,Listas!$D$2:$D$4,0)))</f>
        <v/>
      </c>
    </row>
    <row r="65" spans="1:15" ht="64.0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t="str">
        <f>IF(G65="","",INDEX(Listas!$E$2:$E$9,MATCH(G65,Listas!$F$2:$F$9,0)))</f>
        <v/>
      </c>
      <c r="N65" t="str">
        <f>IF(E65="","",INDEX(Listas!$H$2:$H$5,MATCH(E65,Listas!$I$2:$I$5,0)))</f>
        <v/>
      </c>
      <c r="O65" t="str">
        <f>IF(K65="","",INDEX(Listas!$C$2:$C$4,MATCH(K65,Listas!$D$2:$D$4,0)))</f>
        <v/>
      </c>
    </row>
    <row r="66" spans="1:15" ht="64.0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t="str">
        <f>IF(G66="","",INDEX(Listas!$E$2:$E$9,MATCH(G66,Listas!$F$2:$F$9,0)))</f>
        <v/>
      </c>
      <c r="N66" t="str">
        <f>IF(E66="","",INDEX(Listas!$H$2:$H$5,MATCH(E66,Listas!$I$2:$I$5,0)))</f>
        <v/>
      </c>
      <c r="O66" t="str">
        <f>IF(K66="","",INDEX(Listas!$C$2:$C$4,MATCH(K66,Listas!$D$2:$D$4,0)))</f>
        <v/>
      </c>
    </row>
    <row r="67" spans="1:15" ht="64.0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t="str">
        <f>IF(G67="","",INDEX(Listas!$E$2:$E$9,MATCH(G67,Listas!$F$2:$F$9,0)))</f>
        <v/>
      </c>
      <c r="N67" t="str">
        <f>IF(E67="","",INDEX(Listas!$H$2:$H$5,MATCH(E67,Listas!$I$2:$I$5,0)))</f>
        <v/>
      </c>
      <c r="O67" t="str">
        <f>IF(K67="","",INDEX(Listas!$C$2:$C$4,MATCH(K67,Listas!$D$2:$D$4,0)))</f>
        <v/>
      </c>
    </row>
    <row r="68" spans="1:15" ht="64.0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t="str">
        <f>IF(G68="","",INDEX(Listas!$E$2:$E$9,MATCH(G68,Listas!$F$2:$F$9,0)))</f>
        <v/>
      </c>
      <c r="N68" t="str">
        <f>IF(E68="","",INDEX(Listas!$H$2:$H$5,MATCH(E68,Listas!$I$2:$I$5,0)))</f>
        <v/>
      </c>
      <c r="O68" t="str">
        <f>IF(K68="","",INDEX(Listas!$C$2:$C$4,MATCH(K68,Listas!$D$2:$D$4,0)))</f>
        <v/>
      </c>
    </row>
    <row r="69" spans="1:15" ht="64.0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t="str">
        <f>IF(G69="","",INDEX(Listas!$E$2:$E$9,MATCH(G69,Listas!$F$2:$F$9,0)))</f>
        <v/>
      </c>
      <c r="N69" t="str">
        <f>IF(E69="","",INDEX(Listas!$H$2:$H$5,MATCH(E69,Listas!$I$2:$I$5,0)))</f>
        <v/>
      </c>
      <c r="O69" t="str">
        <f>IF(K69="","",INDEX(Listas!$C$2:$C$4,MATCH(K69,Listas!$D$2:$D$4,0)))</f>
        <v/>
      </c>
    </row>
    <row r="70" spans="1:15" ht="64.0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t="str">
        <f>IF(G70="","",INDEX(Listas!$E$2:$E$9,MATCH(G70,Listas!$F$2:$F$9,0)))</f>
        <v/>
      </c>
      <c r="N70" t="str">
        <f>IF(E70="","",INDEX(Listas!$H$2:$H$5,MATCH(E70,Listas!$I$2:$I$5,0)))</f>
        <v/>
      </c>
      <c r="O70" t="str">
        <f>IF(K70="","",INDEX(Listas!$C$2:$C$4,MATCH(K70,Listas!$D$2:$D$4,0)))</f>
        <v/>
      </c>
    </row>
    <row r="71" spans="1:15" ht="64.0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t="str">
        <f>IF(G71="","",INDEX(Listas!$E$2:$E$9,MATCH(G71,Listas!$F$2:$F$9,0)))</f>
        <v/>
      </c>
      <c r="N71" t="str">
        <f>IF(E71="","",INDEX(Listas!$H$2:$H$5,MATCH(E71,Listas!$I$2:$I$5,0)))</f>
        <v/>
      </c>
      <c r="O71" t="str">
        <f>IF(K71="","",INDEX(Listas!$C$2:$C$4,MATCH(K71,Listas!$D$2:$D$4,0)))</f>
        <v/>
      </c>
    </row>
    <row r="72" spans="1:15" ht="64.0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t="str">
        <f>IF(G72="","",INDEX(Listas!$E$2:$E$9,MATCH(G72,Listas!$F$2:$F$9,0)))</f>
        <v/>
      </c>
      <c r="N72" t="str">
        <f>IF(E72="","",INDEX(Listas!$H$2:$H$5,MATCH(E72,Listas!$I$2:$I$5,0)))</f>
        <v/>
      </c>
      <c r="O72" t="str">
        <f>IF(K72="","",INDEX(Listas!$C$2:$C$4,MATCH(K72,Listas!$D$2:$D$4,0)))</f>
        <v/>
      </c>
    </row>
    <row r="73" spans="1:15" ht="64.0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t="str">
        <f>IF(G73="","",INDEX(Listas!$E$2:$E$9,MATCH(G73,Listas!$F$2:$F$9,0)))</f>
        <v/>
      </c>
      <c r="N73" t="str">
        <f>IF(E73="","",INDEX(Listas!$H$2:$H$5,MATCH(E73,Listas!$I$2:$I$5,0)))</f>
        <v/>
      </c>
      <c r="O73" t="str">
        <f>IF(K73="","",INDEX(Listas!$C$2:$C$4,MATCH(K73,Listas!$D$2:$D$4,0)))</f>
        <v/>
      </c>
    </row>
    <row r="74" spans="1:15" ht="64.0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t="str">
        <f>IF(G74="","",INDEX(Listas!$E$2:$E$9,MATCH(G74,Listas!$F$2:$F$9,0)))</f>
        <v/>
      </c>
      <c r="N74" t="str">
        <f>IF(E74="","",INDEX(Listas!$H$2:$H$5,MATCH(E74,Listas!$I$2:$I$5,0)))</f>
        <v/>
      </c>
      <c r="O74" t="str">
        <f>IF(K74="","",INDEX(Listas!$C$2:$C$4,MATCH(K74,Listas!$D$2:$D$4,0)))</f>
        <v/>
      </c>
    </row>
    <row r="75" spans="1:15" ht="64.0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t="str">
        <f>IF(G75="","",INDEX(Listas!$E$2:$E$9,MATCH(G75,Listas!$F$2:$F$9,0)))</f>
        <v/>
      </c>
      <c r="N75" t="str">
        <f>IF(E75="","",INDEX(Listas!$H$2:$H$5,MATCH(E75,Listas!$I$2:$I$5,0)))</f>
        <v/>
      </c>
      <c r="O75" t="str">
        <f>IF(K75="","",INDEX(Listas!$C$2:$C$4,MATCH(K75,Listas!$D$2:$D$4,0)))</f>
        <v/>
      </c>
    </row>
    <row r="76" spans="1:15" ht="64.0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t="str">
        <f>IF(G76="","",INDEX(Listas!$E$2:$E$9,MATCH(G76,Listas!$F$2:$F$9,0)))</f>
        <v/>
      </c>
      <c r="N76" t="str">
        <f>IF(E76="","",INDEX(Listas!$H$2:$H$5,MATCH(E76,Listas!$I$2:$I$5,0)))</f>
        <v/>
      </c>
      <c r="O76" t="str">
        <f>IF(K76="","",INDEX(Listas!$C$2:$C$4,MATCH(K76,Listas!$D$2:$D$4,0)))</f>
        <v/>
      </c>
    </row>
    <row r="77" spans="1:15" ht="64.0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t="str">
        <f>IF(G77="","",INDEX(Listas!$E$2:$E$9,MATCH(G77,Listas!$F$2:$F$9,0)))</f>
        <v/>
      </c>
      <c r="N77" t="str">
        <f>IF(E77="","",INDEX(Listas!$H$2:$H$5,MATCH(E77,Listas!$I$2:$I$5,0)))</f>
        <v/>
      </c>
      <c r="O77" t="str">
        <f>IF(K77="","",INDEX(Listas!$C$2:$C$4,MATCH(K77,Listas!$D$2:$D$4,0)))</f>
        <v/>
      </c>
    </row>
    <row r="78" spans="1:15" ht="64.0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t="str">
        <f>IF(G78="","",INDEX(Listas!$E$2:$E$9,MATCH(G78,Listas!$F$2:$F$9,0)))</f>
        <v/>
      </c>
      <c r="N78" t="str">
        <f>IF(E78="","",INDEX(Listas!$H$2:$H$5,MATCH(E78,Listas!$I$2:$I$5,0)))</f>
        <v/>
      </c>
      <c r="O78" t="str">
        <f>IF(K78="","",INDEX(Listas!$C$2:$C$4,MATCH(K78,Listas!$D$2:$D$4,0)))</f>
        <v/>
      </c>
    </row>
    <row r="79" spans="1:15" ht="64.0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t="str">
        <f>IF(G79="","",INDEX(Listas!$E$2:$E$9,MATCH(G79,Listas!$F$2:$F$9,0)))</f>
        <v/>
      </c>
      <c r="N79" t="str">
        <f>IF(E79="","",INDEX(Listas!$H$2:$H$5,MATCH(E79,Listas!$I$2:$I$5,0)))</f>
        <v/>
      </c>
      <c r="O79" t="str">
        <f>IF(K79="","",INDEX(Listas!$C$2:$C$4,MATCH(K79,Listas!$D$2:$D$4,0)))</f>
        <v/>
      </c>
    </row>
    <row r="80" spans="1:15" ht="64.0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t="str">
        <f>IF(G80="","",INDEX(Listas!$E$2:$E$9,MATCH(G80,Listas!$F$2:$F$9,0)))</f>
        <v/>
      </c>
      <c r="N80" t="str">
        <f>IF(E80="","",INDEX(Listas!$H$2:$H$5,MATCH(E80,Listas!$I$2:$I$5,0)))</f>
        <v/>
      </c>
      <c r="O80" t="str">
        <f>IF(K80="","",INDEX(Listas!$C$2:$C$4,MATCH(K80,Listas!$D$2:$D$4,0)))</f>
        <v/>
      </c>
    </row>
    <row r="81" spans="1:15" ht="64.0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t="str">
        <f>IF(G81="","",INDEX(Listas!$E$2:$E$9,MATCH(G81,Listas!$F$2:$F$9,0)))</f>
        <v/>
      </c>
      <c r="N81" t="str">
        <f>IF(E81="","",INDEX(Listas!$H$2:$H$5,MATCH(E81,Listas!$I$2:$I$5,0)))</f>
        <v/>
      </c>
      <c r="O81" t="str">
        <f>IF(K81="","",INDEX(Listas!$C$2:$C$4,MATCH(K81,Listas!$D$2:$D$4,0)))</f>
        <v/>
      </c>
    </row>
    <row r="82" spans="1:15" ht="64.0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t="str">
        <f>IF(G82="","",INDEX(Listas!$E$2:$E$9,MATCH(G82,Listas!$F$2:$F$9,0)))</f>
        <v/>
      </c>
      <c r="N82" t="str">
        <f>IF(E82="","",INDEX(Listas!$H$2:$H$5,MATCH(E82,Listas!$I$2:$I$5,0)))</f>
        <v/>
      </c>
      <c r="O82" t="str">
        <f>IF(K82="","",INDEX(Listas!$C$2:$C$4,MATCH(K82,Listas!$D$2:$D$4,0)))</f>
        <v/>
      </c>
    </row>
    <row r="83" spans="1:15" ht="64.0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t="str">
        <f>IF(G83="","",INDEX(Listas!$E$2:$E$9,MATCH(G83,Listas!$F$2:$F$9,0)))</f>
        <v/>
      </c>
      <c r="N83" t="str">
        <f>IF(E83="","",INDEX(Listas!$H$2:$H$5,MATCH(E83,Listas!$I$2:$I$5,0)))</f>
        <v/>
      </c>
      <c r="O83" t="str">
        <f>IF(K83="","",INDEX(Listas!$C$2:$C$4,MATCH(K83,Listas!$D$2:$D$4,0)))</f>
        <v/>
      </c>
    </row>
    <row r="84" spans="1:15" ht="64.0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t="str">
        <f>IF(G84="","",INDEX(Listas!$E$2:$E$9,MATCH(G84,Listas!$F$2:$F$9,0)))</f>
        <v/>
      </c>
      <c r="N84" t="str">
        <f>IF(E84="","",INDEX(Listas!$H$2:$H$5,MATCH(E84,Listas!$I$2:$I$5,0)))</f>
        <v/>
      </c>
      <c r="O84" t="str">
        <f>IF(K84="","",INDEX(Listas!$C$2:$C$4,MATCH(K84,Listas!$D$2:$D$4,0)))</f>
        <v/>
      </c>
    </row>
    <row r="85" spans="1:15" ht="64.05" customHeight="1" x14ac:dyDescent="0.3"/>
    <row r="86" spans="1:15" ht="64.05" customHeight="1" x14ac:dyDescent="0.3"/>
    <row r="87" spans="1:15" ht="64.05" customHeight="1" x14ac:dyDescent="0.3"/>
    <row r="88" spans="1:15" ht="64.05" customHeight="1" x14ac:dyDescent="0.3"/>
    <row r="89" spans="1:15" ht="64.05" customHeight="1" x14ac:dyDescent="0.3"/>
    <row r="90" spans="1:15" ht="64.05" customHeight="1" x14ac:dyDescent="0.3"/>
    <row r="91" spans="1:15" ht="64.05" customHeight="1" x14ac:dyDescent="0.3"/>
  </sheetData>
  <sheetProtection selectLockedCells="1" selectUnlockedCells="1"/>
  <phoneticPr fontId="3" type="noConversion"/>
  <conditionalFormatting sqref="L2:L84">
    <cfRule type="expression" dxfId="0" priority="1">
      <formula>L2=""</formula>
    </cfRule>
  </conditionalFormatting>
  <dataValidations count="3">
    <dataValidation type="custom" allowBlank="1" showInputMessage="1" showErrorMessage="1" error="Correo inválido (ej. usuario@dominio.com)." sqref="H79:H84" xr:uid="{00000000-0002-0000-0000-000005000000}">
      <formula1>IF(H79="","",AND(ISNUMBER(SEARCH("@",H79)),ISNUMBER(SEARCH(".",H79,SEARCH("@",H79)+2))))</formula1>
    </dataValidation>
    <dataValidation type="custom" allowBlank="1" showInputMessage="1" showErrorMessage="1" error="Teléfono inválido: solo números (7–15)." sqref="I2:I84" xr:uid="{00000000-0002-0000-0000-000004000000}">
      <formula1>IF(I2="","",AND(LEN(I2)&gt;=7,LEN(I2)&lt;=15,ISNUMBER(--I2)))</formula1>
    </dataValidation>
    <dataValidation type="custom" allowBlank="1" showInputMessage="1" showErrorMessage="1" error="Documento inválido: solo números (6–20)." sqref="F2:F84" xr:uid="{00000000-0002-0000-0000-000003000000}">
      <formula1>IF(F2="","",AND(LEN(F2)&gt;=6,LEN(F2)&lt;=20,ISNUMBER(--F2)))</formula1>
    </dataValidation>
  </dataValidations>
  <pageMargins left="0.75" right="0.75" top="1" bottom="1" header="0.5" footer="0.5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FEBC84D-5E06-43DE-A87E-AA4DDC2EE9D8}">
          <x14:formula1>
            <xm:f>Listas!$A$2:$A$4</xm:f>
          </x14:formula1>
          <xm:sqref>E84 E83 E82 E81 E79 E80</xm:sqref>
        </x14:dataValidation>
        <x14:dataValidation type="list" allowBlank="1" showInputMessage="1" showErrorMessage="1" xr:uid="{816C89FC-4561-47CE-8E90-C6B69F8A0ECE}">
          <x14:formula1>
            <xm:f>Listas!$F$2:$F$9</xm:f>
          </x14:formula1>
          <xm:sqref>G2:G78</xm:sqref>
        </x14:dataValidation>
        <x14:dataValidation type="list" allowBlank="1" showInputMessage="1" showErrorMessage="1" xr:uid="{31611655-7CA3-4A9A-92A5-A3FA6C6940B4}">
          <x14:formula1>
            <xm:f>Listas!$D$2:$D$4</xm:f>
          </x14:formula1>
          <xm:sqref>K2:K78</xm:sqref>
        </x14:dataValidation>
        <x14:dataValidation type="list" allowBlank="1" showInputMessage="1" showErrorMessage="1" xr:uid="{2F02DDDA-9AF5-4197-AE1F-0D66DFDAC8F8}">
          <x14:formula1>
            <xm:f>Listas!$I$2:$I$5</xm:f>
          </x14:formula1>
          <xm:sqref>E2:E78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H12"/>
  <sheetViews>
    <sheetView workbookViewId="0"/>
  </sheetViews>
  <sheetFormatPr baseColWidth="10" defaultColWidth="8.88671875" defaultRowHeight="14.4" x14ac:dyDescent="0.3"/>
  <sheetData>
    <row r="1" spans="1:8" x14ac:dyDescent="0.3">
      <c r="A1" t="s">
        <v>0</v>
      </c>
      <c r="D1" t="s">
        <v>1</v>
      </c>
      <c r="G1" t="s">
        <v>2</v>
      </c>
    </row>
    <row r="2" spans="1:8" x14ac:dyDescent="0.3">
      <c r="A2" t="s">
        <v>3</v>
      </c>
      <c r="B2" t="s">
        <v>4</v>
      </c>
      <c r="D2" t="s">
        <v>3</v>
      </c>
      <c r="E2" t="s">
        <v>4</v>
      </c>
      <c r="G2" t="s">
        <v>3</v>
      </c>
      <c r="H2" t="s">
        <v>4</v>
      </c>
    </row>
    <row r="3" spans="1:8" x14ac:dyDescent="0.3">
      <c r="A3">
        <v>1</v>
      </c>
      <c r="B3" t="s">
        <v>5</v>
      </c>
      <c r="D3">
        <v>1</v>
      </c>
      <c r="E3" t="s">
        <v>6</v>
      </c>
      <c r="G3">
        <v>1</v>
      </c>
      <c r="H3" t="s">
        <v>7</v>
      </c>
    </row>
    <row r="4" spans="1:8" x14ac:dyDescent="0.3">
      <c r="A4">
        <v>2</v>
      </c>
      <c r="B4" t="s">
        <v>8</v>
      </c>
      <c r="D4">
        <v>2</v>
      </c>
      <c r="E4" t="s">
        <v>9</v>
      </c>
      <c r="G4">
        <v>2</v>
      </c>
      <c r="H4" t="s">
        <v>10</v>
      </c>
    </row>
    <row r="5" spans="1:8" x14ac:dyDescent="0.3">
      <c r="A5">
        <v>3</v>
      </c>
      <c r="B5" t="s">
        <v>11</v>
      </c>
      <c r="D5">
        <v>3</v>
      </c>
      <c r="E5" t="s">
        <v>12</v>
      </c>
      <c r="G5">
        <v>3</v>
      </c>
      <c r="H5" t="s">
        <v>13</v>
      </c>
    </row>
    <row r="6" spans="1:8" x14ac:dyDescent="0.3">
      <c r="A6">
        <v>4</v>
      </c>
      <c r="B6" t="s">
        <v>14</v>
      </c>
      <c r="D6">
        <v>4</v>
      </c>
      <c r="E6" t="s">
        <v>15</v>
      </c>
      <c r="G6">
        <v>4</v>
      </c>
      <c r="H6" t="s">
        <v>16</v>
      </c>
    </row>
    <row r="7" spans="1:8" x14ac:dyDescent="0.3">
      <c r="D7">
        <v>5</v>
      </c>
      <c r="E7" t="s">
        <v>17</v>
      </c>
      <c r="G7">
        <v>5</v>
      </c>
      <c r="H7" t="s">
        <v>18</v>
      </c>
    </row>
    <row r="8" spans="1:8" x14ac:dyDescent="0.3">
      <c r="D8">
        <v>6</v>
      </c>
      <c r="E8" t="s">
        <v>19</v>
      </c>
      <c r="G8">
        <v>6</v>
      </c>
      <c r="H8" t="s">
        <v>20</v>
      </c>
    </row>
    <row r="9" spans="1:8" x14ac:dyDescent="0.3">
      <c r="D9">
        <v>7</v>
      </c>
      <c r="E9" t="s">
        <v>21</v>
      </c>
      <c r="G9">
        <v>7</v>
      </c>
      <c r="H9" t="s">
        <v>22</v>
      </c>
    </row>
    <row r="10" spans="1:8" x14ac:dyDescent="0.3">
      <c r="D10">
        <v>8</v>
      </c>
      <c r="E10" t="s">
        <v>23</v>
      </c>
      <c r="G10">
        <v>8</v>
      </c>
      <c r="H10" t="s">
        <v>24</v>
      </c>
    </row>
    <row r="11" spans="1:8" x14ac:dyDescent="0.3">
      <c r="G11">
        <v>9</v>
      </c>
      <c r="H11" t="s">
        <v>25</v>
      </c>
    </row>
    <row r="12" spans="1:8" x14ac:dyDescent="0.3">
      <c r="G12">
        <v>10</v>
      </c>
      <c r="H12" t="s">
        <v>26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84"/>
  <sheetViews>
    <sheetView workbookViewId="0">
      <selection activeCell="C12" sqref="C12"/>
    </sheetView>
  </sheetViews>
  <sheetFormatPr baseColWidth="10" defaultColWidth="8.88671875" defaultRowHeight="14.4" x14ac:dyDescent="0.3"/>
  <cols>
    <col min="1" max="1" width="69.109375" customWidth="1"/>
  </cols>
  <sheetData>
    <row r="1" spans="1:1" ht="18" x14ac:dyDescent="0.35">
      <c r="A1" s="6" t="s">
        <v>27</v>
      </c>
    </row>
    <row r="2" spans="1:1" x14ac:dyDescent="0.3">
      <c r="A2" s="7"/>
    </row>
    <row r="3" spans="1:1" x14ac:dyDescent="0.3">
      <c r="A3" s="7"/>
    </row>
    <row r="4" spans="1:1" x14ac:dyDescent="0.3">
      <c r="A4" s="8" t="s">
        <v>57</v>
      </c>
    </row>
    <row r="5" spans="1:1" x14ac:dyDescent="0.3">
      <c r="A5" s="9" t="s">
        <v>58</v>
      </c>
    </row>
    <row r="6" spans="1:1" x14ac:dyDescent="0.3">
      <c r="A6" s="8" t="s">
        <v>57</v>
      </c>
    </row>
    <row r="7" spans="1:1" x14ac:dyDescent="0.3">
      <c r="A7" s="8" t="s">
        <v>59</v>
      </c>
    </row>
    <row r="8" spans="1:1" x14ac:dyDescent="0.3">
      <c r="A8" s="8" t="s">
        <v>60</v>
      </c>
    </row>
    <row r="9" spans="1:1" x14ac:dyDescent="0.3">
      <c r="A9" s="8"/>
    </row>
    <row r="10" spans="1:1" x14ac:dyDescent="0.3">
      <c r="A10" s="8" t="s">
        <v>61</v>
      </c>
    </row>
    <row r="11" spans="1:1" x14ac:dyDescent="0.3">
      <c r="A11" s="8"/>
    </row>
    <row r="12" spans="1:1" x14ac:dyDescent="0.3">
      <c r="A12" s="8"/>
    </row>
    <row r="13" spans="1:1" x14ac:dyDescent="0.3">
      <c r="A13" s="8" t="s">
        <v>57</v>
      </c>
    </row>
    <row r="14" spans="1:1" x14ac:dyDescent="0.3">
      <c r="A14" s="9" t="s">
        <v>62</v>
      </c>
    </row>
    <row r="15" spans="1:1" x14ac:dyDescent="0.3">
      <c r="A15" s="8" t="s">
        <v>57</v>
      </c>
    </row>
    <row r="16" spans="1:1" x14ac:dyDescent="0.3">
      <c r="A16" s="8" t="s">
        <v>63</v>
      </c>
    </row>
    <row r="17" spans="1:1" x14ac:dyDescent="0.3">
      <c r="A17" s="8" t="s">
        <v>64</v>
      </c>
    </row>
    <row r="18" spans="1:1" x14ac:dyDescent="0.3">
      <c r="A18" s="8"/>
    </row>
    <row r="19" spans="1:1" x14ac:dyDescent="0.3">
      <c r="A19" s="8"/>
    </row>
    <row r="20" spans="1:1" x14ac:dyDescent="0.3">
      <c r="A20" s="8" t="s">
        <v>57</v>
      </c>
    </row>
    <row r="21" spans="1:1" x14ac:dyDescent="0.3">
      <c r="A21" s="9" t="s">
        <v>65</v>
      </c>
    </row>
    <row r="22" spans="1:1" x14ac:dyDescent="0.3">
      <c r="A22" s="8" t="s">
        <v>57</v>
      </c>
    </row>
    <row r="23" spans="1:1" x14ac:dyDescent="0.3">
      <c r="A23" s="8" t="s">
        <v>66</v>
      </c>
    </row>
    <row r="24" spans="1:1" x14ac:dyDescent="0.3">
      <c r="A24" s="8" t="s">
        <v>67</v>
      </c>
    </row>
    <row r="25" spans="1:1" x14ac:dyDescent="0.3">
      <c r="A25" s="8"/>
    </row>
    <row r="26" spans="1:1" x14ac:dyDescent="0.3">
      <c r="A26" s="8" t="s">
        <v>68</v>
      </c>
    </row>
    <row r="27" spans="1:1" x14ac:dyDescent="0.3">
      <c r="A27" s="8" t="s">
        <v>69</v>
      </c>
    </row>
    <row r="28" spans="1:1" x14ac:dyDescent="0.3">
      <c r="A28" s="8" t="s">
        <v>70</v>
      </c>
    </row>
    <row r="29" spans="1:1" x14ac:dyDescent="0.3">
      <c r="A29" s="8"/>
    </row>
    <row r="30" spans="1:1" x14ac:dyDescent="0.3">
      <c r="A30" s="8" t="s">
        <v>71</v>
      </c>
    </row>
    <row r="31" spans="1:1" x14ac:dyDescent="0.3">
      <c r="A31" s="8"/>
    </row>
    <row r="32" spans="1:1" x14ac:dyDescent="0.3">
      <c r="A32" s="8"/>
    </row>
    <row r="33" spans="1:1" x14ac:dyDescent="0.3">
      <c r="A33" s="8" t="s">
        <v>57</v>
      </c>
    </row>
    <row r="34" spans="1:1" x14ac:dyDescent="0.3">
      <c r="A34" s="9" t="s">
        <v>72</v>
      </c>
    </row>
    <row r="35" spans="1:1" x14ac:dyDescent="0.3">
      <c r="A35" s="8" t="s">
        <v>57</v>
      </c>
    </row>
    <row r="36" spans="1:1" x14ac:dyDescent="0.3">
      <c r="A36" s="8" t="s">
        <v>73</v>
      </c>
    </row>
    <row r="37" spans="1:1" x14ac:dyDescent="0.3">
      <c r="A37" s="8"/>
    </row>
    <row r="38" spans="1:1" x14ac:dyDescent="0.3">
      <c r="A38" s="8" t="s">
        <v>74</v>
      </c>
    </row>
    <row r="39" spans="1:1" x14ac:dyDescent="0.3">
      <c r="A39" s="8" t="s">
        <v>75</v>
      </c>
    </row>
    <row r="40" spans="1:1" x14ac:dyDescent="0.3">
      <c r="A40" s="8" t="s">
        <v>76</v>
      </c>
    </row>
    <row r="41" spans="1:1" x14ac:dyDescent="0.3">
      <c r="A41" s="8"/>
    </row>
    <row r="42" spans="1:1" x14ac:dyDescent="0.3">
      <c r="A42" s="8" t="s">
        <v>77</v>
      </c>
    </row>
    <row r="43" spans="1:1" x14ac:dyDescent="0.3">
      <c r="A43" s="8" t="s">
        <v>78</v>
      </c>
    </row>
    <row r="44" spans="1:1" x14ac:dyDescent="0.3">
      <c r="A44" s="8" t="s">
        <v>79</v>
      </c>
    </row>
    <row r="45" spans="1:1" x14ac:dyDescent="0.3">
      <c r="A45" s="8"/>
    </row>
    <row r="46" spans="1:1" x14ac:dyDescent="0.3">
      <c r="A46" s="8" t="s">
        <v>80</v>
      </c>
    </row>
    <row r="47" spans="1:1" x14ac:dyDescent="0.3">
      <c r="A47" s="8" t="s">
        <v>81</v>
      </c>
    </row>
    <row r="48" spans="1:1" x14ac:dyDescent="0.3">
      <c r="A48" s="8"/>
    </row>
    <row r="49" spans="1:1" x14ac:dyDescent="0.3">
      <c r="A49" s="8" t="s">
        <v>82</v>
      </c>
    </row>
    <row r="50" spans="1:1" x14ac:dyDescent="0.3">
      <c r="A50" s="8"/>
    </row>
    <row r="51" spans="1:1" x14ac:dyDescent="0.3">
      <c r="A51" s="8"/>
    </row>
    <row r="52" spans="1:1" x14ac:dyDescent="0.3">
      <c r="A52" s="8" t="s">
        <v>57</v>
      </c>
    </row>
    <row r="53" spans="1:1" x14ac:dyDescent="0.3">
      <c r="A53" s="9" t="s">
        <v>83</v>
      </c>
    </row>
    <row r="54" spans="1:1" x14ac:dyDescent="0.3">
      <c r="A54" s="8" t="s">
        <v>57</v>
      </c>
    </row>
    <row r="55" spans="1:1" x14ac:dyDescent="0.3">
      <c r="A55" s="8" t="s">
        <v>84</v>
      </c>
    </row>
    <row r="56" spans="1:1" x14ac:dyDescent="0.3">
      <c r="A56" s="8"/>
    </row>
    <row r="57" spans="1:1" x14ac:dyDescent="0.3">
      <c r="A57" s="8" t="s">
        <v>85</v>
      </c>
    </row>
    <row r="58" spans="1:1" x14ac:dyDescent="0.3">
      <c r="A58" s="8" t="s">
        <v>86</v>
      </c>
    </row>
    <row r="59" spans="1:1" x14ac:dyDescent="0.3">
      <c r="A59" s="8"/>
    </row>
    <row r="60" spans="1:1" x14ac:dyDescent="0.3">
      <c r="A60" s="8" t="s">
        <v>87</v>
      </c>
    </row>
    <row r="61" spans="1:1" x14ac:dyDescent="0.3">
      <c r="A61" s="8" t="s">
        <v>88</v>
      </c>
    </row>
    <row r="62" spans="1:1" x14ac:dyDescent="0.3">
      <c r="A62" s="8"/>
    </row>
    <row r="63" spans="1:1" x14ac:dyDescent="0.3">
      <c r="A63" s="8"/>
    </row>
    <row r="64" spans="1:1" x14ac:dyDescent="0.3">
      <c r="A64" s="8" t="s">
        <v>57</v>
      </c>
    </row>
    <row r="65" spans="1:1" x14ac:dyDescent="0.3">
      <c r="A65" s="9" t="s">
        <v>89</v>
      </c>
    </row>
    <row r="66" spans="1:1" x14ac:dyDescent="0.3">
      <c r="A66" s="8" t="s">
        <v>57</v>
      </c>
    </row>
    <row r="67" spans="1:1" x14ac:dyDescent="0.3">
      <c r="A67" s="8" t="s">
        <v>90</v>
      </c>
    </row>
    <row r="68" spans="1:1" x14ac:dyDescent="0.3">
      <c r="A68" s="8" t="s">
        <v>91</v>
      </c>
    </row>
    <row r="69" spans="1:1" x14ac:dyDescent="0.3">
      <c r="A69" s="8"/>
    </row>
    <row r="70" spans="1:1" x14ac:dyDescent="0.3">
      <c r="A70" s="8" t="s">
        <v>92</v>
      </c>
    </row>
    <row r="71" spans="1:1" x14ac:dyDescent="0.3">
      <c r="A71" s="8"/>
    </row>
    <row r="72" spans="1:1" x14ac:dyDescent="0.3">
      <c r="A72" s="8"/>
    </row>
    <row r="73" spans="1:1" x14ac:dyDescent="0.3">
      <c r="A73" s="8" t="s">
        <v>57</v>
      </c>
    </row>
    <row r="74" spans="1:1" x14ac:dyDescent="0.3">
      <c r="A74" s="9" t="s">
        <v>93</v>
      </c>
    </row>
    <row r="75" spans="1:1" x14ac:dyDescent="0.3">
      <c r="A75" s="8" t="s">
        <v>57</v>
      </c>
    </row>
    <row r="76" spans="1:1" x14ac:dyDescent="0.3">
      <c r="A76" s="8" t="s">
        <v>94</v>
      </c>
    </row>
    <row r="77" spans="1:1" x14ac:dyDescent="0.3">
      <c r="A77" s="8"/>
    </row>
    <row r="78" spans="1:1" x14ac:dyDescent="0.3">
      <c r="A78" s="8" t="s">
        <v>95</v>
      </c>
    </row>
    <row r="79" spans="1:1" x14ac:dyDescent="0.3">
      <c r="A79" s="8" t="s">
        <v>96</v>
      </c>
    </row>
    <row r="80" spans="1:1" x14ac:dyDescent="0.3">
      <c r="A80" s="8" t="s">
        <v>97</v>
      </c>
    </row>
    <row r="81" spans="1:1" x14ac:dyDescent="0.3">
      <c r="A81" s="8"/>
    </row>
    <row r="82" spans="1:1" x14ac:dyDescent="0.3">
      <c r="A82" s="8" t="s">
        <v>57</v>
      </c>
    </row>
    <row r="83" spans="1:1" x14ac:dyDescent="0.3">
      <c r="A83" s="9" t="s">
        <v>98</v>
      </c>
    </row>
    <row r="84" spans="1:1" x14ac:dyDescent="0.3">
      <c r="A84" s="10" t="s">
        <v>57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006E1-5D60-4EC0-A74E-F598DE0506B0}">
  <dimension ref="C1:J9"/>
  <sheetViews>
    <sheetView workbookViewId="0">
      <selection activeCell="K10" sqref="K10"/>
    </sheetView>
  </sheetViews>
  <sheetFormatPr baseColWidth="10" defaultRowHeight="14.4" x14ac:dyDescent="0.3"/>
  <cols>
    <col min="1" max="1" width="19.21875" customWidth="1"/>
    <col min="2" max="2" width="15.44140625" customWidth="1"/>
  </cols>
  <sheetData>
    <row r="1" spans="3:10" ht="28.8" x14ac:dyDescent="0.3">
      <c r="C1" s="4" t="s">
        <v>99</v>
      </c>
      <c r="D1" s="4" t="s">
        <v>100</v>
      </c>
      <c r="E1" s="4" t="s">
        <v>43</v>
      </c>
      <c r="F1" s="4" t="s">
        <v>34</v>
      </c>
      <c r="H1" s="4" t="s">
        <v>43</v>
      </c>
      <c r="I1" s="4" t="s">
        <v>49</v>
      </c>
      <c r="J1" s="4" t="s">
        <v>50</v>
      </c>
    </row>
    <row r="2" spans="3:10" ht="28.8" x14ac:dyDescent="0.3">
      <c r="C2" s="5">
        <v>1</v>
      </c>
      <c r="D2" s="5" t="s">
        <v>101</v>
      </c>
      <c r="E2" s="5">
        <v>1</v>
      </c>
      <c r="F2" s="5" t="s">
        <v>9</v>
      </c>
      <c r="H2" s="5">
        <v>1</v>
      </c>
      <c r="I2" s="5" t="s">
        <v>40</v>
      </c>
      <c r="J2" s="5" t="s">
        <v>51</v>
      </c>
    </row>
    <row r="3" spans="3:10" ht="28.8" x14ac:dyDescent="0.3">
      <c r="C3" s="5">
        <v>2</v>
      </c>
      <c r="D3" s="5" t="s">
        <v>10</v>
      </c>
      <c r="E3" s="5">
        <v>2</v>
      </c>
      <c r="F3" s="5" t="s">
        <v>44</v>
      </c>
      <c r="H3" s="5">
        <v>2</v>
      </c>
      <c r="I3" s="5" t="s">
        <v>41</v>
      </c>
      <c r="J3" s="5" t="s">
        <v>52</v>
      </c>
    </row>
    <row r="4" spans="3:10" ht="28.8" x14ac:dyDescent="0.3">
      <c r="C4" s="5">
        <v>3</v>
      </c>
      <c r="D4" s="5" t="s">
        <v>13</v>
      </c>
      <c r="E4" s="5">
        <v>3</v>
      </c>
      <c r="F4" s="5" t="s">
        <v>15</v>
      </c>
      <c r="H4" s="5">
        <v>3</v>
      </c>
      <c r="I4" s="5" t="s">
        <v>42</v>
      </c>
      <c r="J4" s="5" t="s">
        <v>53</v>
      </c>
    </row>
    <row r="5" spans="3:10" x14ac:dyDescent="0.3">
      <c r="E5" s="5">
        <v>4</v>
      </c>
      <c r="F5" s="5" t="s">
        <v>45</v>
      </c>
      <c r="H5" s="5">
        <v>4</v>
      </c>
      <c r="I5" s="5" t="s">
        <v>54</v>
      </c>
      <c r="J5" s="5" t="s">
        <v>55</v>
      </c>
    </row>
    <row r="6" spans="3:10" x14ac:dyDescent="0.3">
      <c r="E6" s="5">
        <v>5</v>
      </c>
      <c r="F6" s="5" t="s">
        <v>19</v>
      </c>
    </row>
    <row r="7" spans="3:10" x14ac:dyDescent="0.3">
      <c r="E7" s="5">
        <v>6</v>
      </c>
      <c r="F7" s="5" t="s">
        <v>46</v>
      </c>
    </row>
    <row r="8" spans="3:10" x14ac:dyDescent="0.3">
      <c r="E8" s="5">
        <v>7</v>
      </c>
      <c r="F8" s="5" t="s">
        <v>23</v>
      </c>
    </row>
    <row r="9" spans="3:10" x14ac:dyDescent="0.3">
      <c r="E9" s="5">
        <v>8</v>
      </c>
      <c r="F9" s="5" t="s"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Personas</vt:lpstr>
      <vt:lpstr>Lookups</vt:lpstr>
      <vt:lpstr>Instructions</vt:lpstr>
      <vt:lpstr>Listas</vt:lpstr>
      <vt:lpstr>BloodTypeNames</vt:lpstr>
      <vt:lpstr>CityNames</vt:lpstr>
      <vt:lpstr>DocumentTypeNames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Maria Isabel Tovar Pastrana</cp:lastModifiedBy>
  <dcterms:created xsi:type="dcterms:W3CDTF">2025-09-05T14:59:49Z</dcterms:created>
  <dcterms:modified xsi:type="dcterms:W3CDTF">2025-12-10T14:25:35Z</dcterms:modified>
</cp:coreProperties>
</file>